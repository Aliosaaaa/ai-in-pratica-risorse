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  <sheet xmlns:r="http://schemas.openxmlformats.org/officeDocument/2006/relationships" name="P&amp;L Mens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5"/>
    </font>
    <font>
      <i val="1"/>
      <color rgb="00555555"/>
      <sz val="10"/>
    </font>
    <font>
      <b val="1"/>
      <color rgb="00FFFFFF"/>
      <sz val="10"/>
    </font>
    <font>
      <b val="1"/>
      <color rgb="001E3A5F"/>
    </font>
    <font>
      <b val="1"/>
      <color rgb="001E3A5F"/>
      <sz val="12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F5A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4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8" customWidth="1" min="4" max="4"/>
    <col width="10" customWidth="1" min="5" max="5"/>
    <col width="13" customWidth="1" min="6" max="6"/>
    <col width="22" customWidth="1" min="7" max="7"/>
  </cols>
  <sheetData>
    <row r="1">
      <c r="A1" s="1" t="inlineStr">
        <is>
          <t>AI Osha — Risorsa 11 · Chiusura Mensile</t>
        </is>
      </c>
    </row>
    <row r="2">
      <c r="A2" s="2" t="inlineStr">
        <is>
          <t>Inserisci i movimenti: il P&amp;L si calcola da solo. Le uscite vanno con il segno meno.</t>
        </is>
      </c>
    </row>
    <row r="4">
      <c r="A4" s="3" t="inlineStr">
        <is>
          <t>Data</t>
        </is>
      </c>
      <c r="B4" s="3" t="inlineStr">
        <is>
          <t>Descrizione</t>
        </is>
      </c>
      <c r="C4" s="3" t="inlineStr">
        <is>
          <t>Categoria</t>
        </is>
      </c>
      <c r="D4" s="3" t="inlineStr">
        <is>
          <t>Sotto-categoria</t>
        </is>
      </c>
      <c r="E4" s="3" t="inlineStr">
        <is>
          <t>Tipo</t>
        </is>
      </c>
      <c r="F4" s="3" t="inlineStr">
        <is>
          <t>Importo (€)</t>
        </is>
      </c>
      <c r="G4" s="3" t="inlineStr">
        <is>
          <t>Note</t>
        </is>
      </c>
    </row>
    <row r="5">
      <c r="A5" t="inlineStr">
        <is>
          <t>01/04/2026</t>
        </is>
      </c>
      <c r="B5" t="inlineStr">
        <is>
          <t>Fattura cliente Rossi SRL</t>
        </is>
      </c>
      <c r="C5" t="inlineStr">
        <is>
          <t>Ricavi</t>
        </is>
      </c>
      <c r="D5" t="inlineStr">
        <is>
          <t>Servizi consulenza</t>
        </is>
      </c>
      <c r="E5" t="inlineStr">
        <is>
          <t>Entrata</t>
        </is>
      </c>
      <c r="F5" t="n">
        <v>4500</v>
      </c>
    </row>
    <row r="6">
      <c r="A6" s="4" t="inlineStr">
        <is>
          <t>02/04/2026</t>
        </is>
      </c>
      <c r="B6" s="4" t="inlineStr">
        <is>
          <t>Stipendio dipendente A. Bianchi</t>
        </is>
      </c>
      <c r="C6" s="4" t="inlineStr">
        <is>
          <t>Costi personale</t>
        </is>
      </c>
      <c r="D6" s="4" t="inlineStr">
        <is>
          <t>Stipendi</t>
        </is>
      </c>
      <c r="E6" s="4" t="inlineStr">
        <is>
          <t>Uscita</t>
        </is>
      </c>
      <c r="F6" s="4" t="n">
        <v>-2200</v>
      </c>
      <c r="G6" s="4" t="n"/>
    </row>
    <row r="7">
      <c r="A7" t="inlineStr">
        <is>
          <t>03/04/2026</t>
        </is>
      </c>
      <c r="B7" t="inlineStr">
        <is>
          <t>Abbonamento ChatGPT Plus</t>
        </is>
      </c>
      <c r="C7" t="inlineStr">
        <is>
          <t>Software/AI</t>
        </is>
      </c>
      <c r="D7" t="inlineStr">
        <is>
          <t>AI tools</t>
        </is>
      </c>
      <c r="E7" t="inlineStr">
        <is>
          <t>Uscita</t>
        </is>
      </c>
      <c r="F7" t="n">
        <v>-20</v>
      </c>
    </row>
    <row r="8">
      <c r="A8" s="4" t="inlineStr">
        <is>
          <t>04/04/2026</t>
        </is>
      </c>
      <c r="B8" s="4" t="inlineStr">
        <is>
          <t>Affitto ufficio</t>
        </is>
      </c>
      <c r="C8" s="4" t="inlineStr">
        <is>
          <t>Costi fissi</t>
        </is>
      </c>
      <c r="D8" s="4" t="inlineStr">
        <is>
          <t>Affitto</t>
        </is>
      </c>
      <c r="E8" s="4" t="inlineStr">
        <is>
          <t>Uscita</t>
        </is>
      </c>
      <c r="F8" s="4" t="n">
        <v>-800</v>
      </c>
      <c r="G8" s="4" t="n"/>
    </row>
    <row r="9">
      <c r="A9" t="inlineStr">
        <is>
          <t>05/04/2026</t>
        </is>
      </c>
      <c r="B9" t="inlineStr">
        <is>
          <t>Bolletta luce</t>
        </is>
      </c>
      <c r="C9" t="inlineStr">
        <is>
          <t>Utenze</t>
        </is>
      </c>
      <c r="D9" t="inlineStr">
        <is>
          <t>Energia</t>
        </is>
      </c>
      <c r="E9" t="inlineStr">
        <is>
          <t>Uscita</t>
        </is>
      </c>
      <c r="F9" t="n">
        <v>-180</v>
      </c>
    </row>
    <row r="10">
      <c r="A10" s="4" t="inlineStr">
        <is>
          <t>08/04/2026</t>
        </is>
      </c>
      <c r="B10" s="4" t="inlineStr">
        <is>
          <t>Fattura cliente Verdi Spa</t>
        </is>
      </c>
      <c r="C10" s="4" t="inlineStr">
        <is>
          <t>Ricavi</t>
        </is>
      </c>
      <c r="D10" s="4" t="inlineStr">
        <is>
          <t>Prodotti</t>
        </is>
      </c>
      <c r="E10" s="4" t="inlineStr">
        <is>
          <t>Entrata</t>
        </is>
      </c>
      <c r="F10" s="4" t="n">
        <v>6200</v>
      </c>
      <c r="G10" s="4" t="n"/>
    </row>
    <row r="11">
      <c r="A11" t="inlineStr">
        <is>
          <t>10/04/2026</t>
        </is>
      </c>
      <c r="B11" t="inlineStr">
        <is>
          <t>Materiale ufficio</t>
        </is>
      </c>
      <c r="C11" t="inlineStr">
        <is>
          <t>Costi operativi</t>
        </is>
      </c>
      <c r="D11" t="inlineStr">
        <is>
          <t>Cancelleria</t>
        </is>
      </c>
      <c r="E11" t="inlineStr">
        <is>
          <t>Uscita</t>
        </is>
      </c>
      <c r="F11" t="n">
        <v>-120</v>
      </c>
    </row>
    <row r="12">
      <c r="A12" s="4" t="inlineStr">
        <is>
          <t>12/04/2026</t>
        </is>
      </c>
      <c r="B12" s="4" t="inlineStr">
        <is>
          <t>Pubblicità Meta Ads</t>
        </is>
      </c>
      <c r="C12" s="4" t="inlineStr">
        <is>
          <t>Marketing</t>
        </is>
      </c>
      <c r="D12" s="4" t="inlineStr">
        <is>
          <t>Adv online</t>
        </is>
      </c>
      <c r="E12" s="4" t="inlineStr">
        <is>
          <t>Uscita</t>
        </is>
      </c>
      <c r="F12" s="4" t="n">
        <v>-350</v>
      </c>
      <c r="G12" s="4" t="n"/>
    </row>
    <row r="13">
      <c r="A13" t="inlineStr">
        <is>
          <t>15/04/2026</t>
        </is>
      </c>
      <c r="B13" t="inlineStr">
        <is>
          <t>Commercialista</t>
        </is>
      </c>
      <c r="C13" t="inlineStr">
        <is>
          <t>Servizi professionali</t>
        </is>
      </c>
      <c r="D13" t="inlineStr">
        <is>
          <t>Consulenza fiscale</t>
        </is>
      </c>
      <c r="E13" t="inlineStr">
        <is>
          <t>Uscita</t>
        </is>
      </c>
      <c r="F13" t="n">
        <v>-250</v>
      </c>
    </row>
    <row r="14">
      <c r="A14" s="4" t="inlineStr">
        <is>
          <t>18/04/2026</t>
        </is>
      </c>
      <c r="B14" s="4" t="inlineStr">
        <is>
          <t>Fattura cliente Neri SAS</t>
        </is>
      </c>
      <c r="C14" s="4" t="inlineStr">
        <is>
          <t>Ricavi</t>
        </is>
      </c>
      <c r="D14" s="4" t="inlineStr">
        <is>
          <t>Servizi consulenza</t>
        </is>
      </c>
      <c r="E14" s="4" t="inlineStr">
        <is>
          <t>Entrata</t>
        </is>
      </c>
      <c r="F14" s="4" t="n">
        <v>3800</v>
      </c>
      <c r="G14" s="4" t="n"/>
    </row>
    <row r="15"/>
    <row r="16">
      <c r="A16" s="4" t="n"/>
      <c r="B16" s="4" t="n"/>
      <c r="C16" s="4" t="n"/>
      <c r="D16" s="4" t="n"/>
      <c r="E16" s="4" t="n"/>
      <c r="F16" s="4" t="n"/>
      <c r="G16" s="4" t="n"/>
    </row>
    <row r="17"/>
    <row r="18">
      <c r="A18" s="4" t="n"/>
      <c r="B18" s="4" t="n"/>
      <c r="C18" s="4" t="n"/>
      <c r="D18" s="4" t="n"/>
      <c r="E18" s="4" t="n"/>
      <c r="F18" s="4" t="n"/>
      <c r="G18" s="4" t="n"/>
    </row>
    <row r="19"/>
    <row r="20">
      <c r="A20" s="4" t="n"/>
      <c r="B20" s="4" t="n"/>
      <c r="C20" s="4" t="n"/>
      <c r="D20" s="4" t="n"/>
      <c r="E20" s="4" t="n"/>
      <c r="F20" s="4" t="n"/>
      <c r="G20" s="4" t="n"/>
    </row>
    <row r="21"/>
    <row r="22">
      <c r="A22" s="4" t="n"/>
      <c r="B22" s="4" t="n"/>
      <c r="C22" s="4" t="n"/>
      <c r="D22" s="4" t="n"/>
      <c r="E22" s="4" t="n"/>
      <c r="F22" s="4" t="n"/>
      <c r="G22" s="4" t="n"/>
    </row>
    <row r="23"/>
    <row r="24">
      <c r="A24" s="4" t="n"/>
      <c r="B24" s="4" t="n"/>
      <c r="C24" s="4" t="n"/>
      <c r="D24" s="4" t="n"/>
      <c r="E24" s="4" t="n"/>
      <c r="F24" s="4" t="n"/>
      <c r="G24" s="4" t="n"/>
    </row>
    <row r="25"/>
    <row r="26">
      <c r="A26" s="4" t="n"/>
      <c r="B26" s="4" t="n"/>
      <c r="C26" s="4" t="n"/>
      <c r="D26" s="4" t="n"/>
      <c r="E26" s="4" t="n"/>
      <c r="F26" s="4" t="n"/>
      <c r="G26" s="4" t="n"/>
    </row>
    <row r="27"/>
    <row r="28">
      <c r="A28" s="4" t="n"/>
      <c r="B28" s="4" t="n"/>
      <c r="C28" s="4" t="n"/>
      <c r="D28" s="4" t="n"/>
      <c r="E28" s="4" t="n"/>
      <c r="F28" s="4" t="n"/>
      <c r="G28" s="4" t="n"/>
    </row>
    <row r="29"/>
    <row r="30">
      <c r="A30" s="4" t="n"/>
      <c r="B30" s="4" t="n"/>
      <c r="C30" s="4" t="n"/>
      <c r="D30" s="4" t="n"/>
      <c r="E30" s="4" t="n"/>
      <c r="F30" s="4" t="n"/>
      <c r="G30" s="4" t="n"/>
    </row>
    <row r="31"/>
    <row r="32">
      <c r="A32" s="4" t="n"/>
      <c r="B32" s="4" t="n"/>
      <c r="C32" s="4" t="n"/>
      <c r="D32" s="4" t="n"/>
      <c r="E32" s="4" t="n"/>
      <c r="F32" s="4" t="n"/>
      <c r="G32" s="4" t="n"/>
    </row>
    <row r="33"/>
    <row r="34">
      <c r="A34" s="4" t="n"/>
      <c r="B34" s="4" t="n"/>
      <c r="C34" s="4" t="n"/>
      <c r="D34" s="4" t="n"/>
      <c r="E34" s="4" t="n"/>
      <c r="F34" s="4" t="n"/>
      <c r="G34" s="4" t="n"/>
    </row>
  </sheetData>
  <dataValidations count="2">
    <dataValidation sqref="C5 C6 C7 C8 C9 C10 C11 C12 C13 C14 C15 C16 C17 C18 C19 C20 C21 C22 C23 C24 C25 C26 C27 C28 C29 C30 C31 C32 C33 C34" showDropDown="0" showInputMessage="0" showErrorMessage="0" allowBlank="1" type="list">
      <formula1>"Ricavi,Costi personale,Costi fissi,Software/AI,Utenze,Costi operativi,Marketing,Servizi professionali"</formula1>
    </dataValidation>
    <dataValidation sqref="E5 E6 E7 E8 E9 E10 E11 E12 E13 E14 E15 E16 E17 E18 E19 E20 E21 E22 E23 E24 E25 E26 E27 E28 E29 E30 E31 E32 E33 E34" showDropDown="0" showInputMessage="0" showErrorMessage="0" allowBlank="1" type="list">
      <formula1>"Entrata,Uscita"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</cols>
  <sheetData>
    <row r="1">
      <c r="A1" s="1" t="inlineStr">
        <is>
          <t>AI Osha — P&amp;L Mensile</t>
        </is>
      </c>
    </row>
    <row r="2">
      <c r="A2" s="2" t="inlineStr">
        <is>
          <t>Aggregato per categoria, con formule live dai Movimenti.</t>
        </is>
      </c>
    </row>
    <row r="4">
      <c r="A4" s="3" t="inlineStr">
        <is>
          <t>Categoria</t>
        </is>
      </c>
      <c r="B4" s="3" t="inlineStr">
        <is>
          <t>Tipo</t>
        </is>
      </c>
      <c r="C4" s="3" t="inlineStr">
        <is>
          <t>Totale (€)</t>
        </is>
      </c>
    </row>
    <row r="5">
      <c r="A5" t="inlineStr">
        <is>
          <t>Ricavi</t>
        </is>
      </c>
      <c r="B5" t="inlineStr">
        <is>
          <t>Entrata</t>
        </is>
      </c>
      <c r="C5">
        <f>SUMIF(Movimenti!$C$5:$C$34,A5,Movimenti!$F$5:$F$34)</f>
        <v/>
      </c>
    </row>
    <row r="6">
      <c r="A6" t="inlineStr">
        <is>
          <t>Costi personale</t>
        </is>
      </c>
      <c r="B6" t="inlineStr">
        <is>
          <t>Uscita</t>
        </is>
      </c>
      <c r="C6">
        <f>SUMIF(Movimenti!$C$5:$C$34,A6,Movimenti!$F$5:$F$34)</f>
        <v/>
      </c>
    </row>
    <row r="7">
      <c r="A7" t="inlineStr">
        <is>
          <t>Costi fissi</t>
        </is>
      </c>
      <c r="B7" t="inlineStr">
        <is>
          <t>Uscita</t>
        </is>
      </c>
      <c r="C7">
        <f>SUMIF(Movimenti!$C$5:$C$34,A7,Movimenti!$F$5:$F$34)</f>
        <v/>
      </c>
    </row>
    <row r="8">
      <c r="A8" t="inlineStr">
        <is>
          <t>Software/AI</t>
        </is>
      </c>
      <c r="B8" t="inlineStr">
        <is>
          <t>Uscita</t>
        </is>
      </c>
      <c r="C8">
        <f>SUMIF(Movimenti!$C$5:$C$34,A8,Movimenti!$F$5:$F$34)</f>
        <v/>
      </c>
    </row>
    <row r="9">
      <c r="A9" t="inlineStr">
        <is>
          <t>Utenze</t>
        </is>
      </c>
      <c r="B9" t="inlineStr">
        <is>
          <t>Uscita</t>
        </is>
      </c>
      <c r="C9">
        <f>SUMIF(Movimenti!$C$5:$C$34,A9,Movimenti!$F$5:$F$34)</f>
        <v/>
      </c>
    </row>
    <row r="10">
      <c r="A10" t="inlineStr">
        <is>
          <t>Costi operativi</t>
        </is>
      </c>
      <c r="B10" t="inlineStr">
        <is>
          <t>Uscita</t>
        </is>
      </c>
      <c r="C10">
        <f>SUMIF(Movimenti!$C$5:$C$34,A10,Movimenti!$F$5:$F$34)</f>
        <v/>
      </c>
    </row>
    <row r="11">
      <c r="A11" t="inlineStr">
        <is>
          <t>Marketing</t>
        </is>
      </c>
      <c r="B11" t="inlineStr">
        <is>
          <t>Uscita</t>
        </is>
      </c>
      <c r="C11">
        <f>SUMIF(Movimenti!$C$5:$C$34,A11,Movimenti!$F$5:$F$34)</f>
        <v/>
      </c>
    </row>
    <row r="12">
      <c r="A12" t="inlineStr">
        <is>
          <t>Servizi professionali</t>
        </is>
      </c>
      <c r="B12" t="inlineStr">
        <is>
          <t>Uscita</t>
        </is>
      </c>
      <c r="C12">
        <f>SUMIF(Movimenti!$C$5:$C$34,A12,Movimenti!$F$5:$F$34)</f>
        <v/>
      </c>
    </row>
    <row r="13">
      <c r="A13" s="5" t="inlineStr">
        <is>
          <t>TOTALE ENTRATE</t>
        </is>
      </c>
      <c r="C13" s="5">
        <f>SUMIF(Movimenti!$E$5:$E$34,"Entrata",Movimenti!$F$5:$F$34)</f>
        <v/>
      </c>
    </row>
    <row r="14">
      <c r="A14" s="5" t="inlineStr">
        <is>
          <t>TOTALE USCITE</t>
        </is>
      </c>
      <c r="C14" s="5">
        <f>SUMIF(Movimenti!$E$5:$E$34,"Uscita",Movimenti!$F$5:$F$34)</f>
        <v/>
      </c>
    </row>
    <row r="15">
      <c r="A15" s="6" t="inlineStr">
        <is>
          <t>MARGINE</t>
        </is>
      </c>
      <c r="C15" s="6">
        <f>C13+C14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2026-06-01T22:18:48Z</dcterms:created>
  <dcterms:modified xmlns:dcterms="http://purl.org/dc/terms/" xmlns:xsi="http://www.w3.org/2001/XMLSchema-instance" xsi:type="dcterms:W3CDTF">2026-06-01T22:18:48Z</dcterms:modified>
</cp:coreProperties>
</file>