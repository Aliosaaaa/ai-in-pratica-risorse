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&amp; Clienti" sheetId="1" state="visible" r:id="rId1"/>
    <sheet xmlns:r="http://schemas.openxmlformats.org/officeDocument/2006/relationships" name="Pip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5"/>
    </font>
    <font>
      <i val="1"/>
      <color rgb="00555555"/>
      <sz val="10"/>
    </font>
    <font>
      <b val="1"/>
      <color rgb="00FFFFFF"/>
      <sz val="10"/>
    </font>
    <font>
      <b val="1"/>
      <color rgb="001E3A5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22" customWidth="1" min="4" max="4"/>
    <col width="16" customWidth="1" min="5" max="5"/>
    <col width="12" customWidth="1" min="6" max="6"/>
    <col width="16" customWidth="1" min="7" max="7"/>
    <col width="16" customWidth="1" min="8" max="8"/>
    <col width="13" customWidth="1" min="9" max="9"/>
    <col width="16" customWidth="1" min="10" max="10"/>
    <col width="20" customWidth="1" min="11" max="11"/>
  </cols>
  <sheetData>
    <row r="1">
      <c r="A1" s="1" t="inlineStr">
        <is>
          <t>AI Osha — Risorsa 10 · CRM Minimo</t>
        </is>
      </c>
    </row>
    <row r="2">
      <c r="A2" s="2" t="inlineStr">
        <is>
          <t>Un solo file al posto di sei fogli sparsi. Il valore pesato e la Pipeline si calcolano da soli.</t>
        </is>
      </c>
    </row>
    <row r="4">
      <c r="A4" s="3" t="inlineStr">
        <is>
          <t>ID</t>
        </is>
      </c>
      <c r="B4" s="3" t="inlineStr">
        <is>
          <t>Nome contatto</t>
        </is>
      </c>
      <c r="C4" s="3" t="inlineStr">
        <is>
          <t>Azienda</t>
        </is>
      </c>
      <c r="D4" s="3" t="inlineStr">
        <is>
          <t>Email</t>
        </is>
      </c>
      <c r="E4" s="3" t="inlineStr">
        <is>
          <t>Telefono</t>
        </is>
      </c>
      <c r="F4" s="3" t="inlineStr">
        <is>
          <t>Fonte</t>
        </is>
      </c>
      <c r="G4" s="3" t="inlineStr">
        <is>
          <t>Stadio</t>
        </is>
      </c>
      <c r="H4" s="3" t="inlineStr">
        <is>
          <t>Valore stimato (€)</t>
        </is>
      </c>
      <c r="I4" s="3" t="inlineStr">
        <is>
          <t>Probabilità %</t>
        </is>
      </c>
      <c r="J4" s="3" t="inlineStr">
        <is>
          <t>Valore pesato (€)</t>
        </is>
      </c>
      <c r="K4" s="3" t="inlineStr">
        <is>
          <t>Prossima azione</t>
        </is>
      </c>
    </row>
    <row r="5">
      <c r="A5" t="n">
        <v>1</v>
      </c>
      <c r="B5" t="inlineStr">
        <is>
          <t>Mario Rossi</t>
        </is>
      </c>
      <c r="C5" t="inlineStr">
        <is>
          <t>Rossi SRL</t>
        </is>
      </c>
      <c r="D5" t="inlineStr">
        <is>
          <t>mario@rossi.it</t>
        </is>
      </c>
      <c r="E5" t="inlineStr">
        <is>
          <t>+39 333 1234567</t>
        </is>
      </c>
      <c r="F5" t="inlineStr">
        <is>
          <t>LinkedIn</t>
        </is>
      </c>
      <c r="G5" t="inlineStr">
        <is>
          <t>Qualificato</t>
        </is>
      </c>
      <c r="H5" t="n">
        <v>5000</v>
      </c>
      <c r="I5" t="n">
        <v>60</v>
      </c>
      <c r="J5">
        <f>IF(H5="","",H5*I5/100)</f>
        <v/>
      </c>
    </row>
    <row r="6">
      <c r="A6" s="4" t="n">
        <v>2</v>
      </c>
      <c r="B6" s="4" t="inlineStr">
        <is>
          <t>Anna Bianchi</t>
        </is>
      </c>
      <c r="C6" s="4" t="inlineStr">
        <is>
          <t>Bianchi &amp; Co</t>
        </is>
      </c>
      <c r="D6" s="4" t="inlineStr">
        <is>
          <t>a.bianchi@bianchi.it</t>
        </is>
      </c>
      <c r="E6" s="4" t="inlineStr">
        <is>
          <t>+39 340 7654321</t>
        </is>
      </c>
      <c r="F6" s="4" t="inlineStr">
        <is>
          <t>Referral</t>
        </is>
      </c>
      <c r="G6" s="4" t="inlineStr">
        <is>
          <t>Proposta inviata</t>
        </is>
      </c>
      <c r="H6" s="4" t="n">
        <v>12000</v>
      </c>
      <c r="I6" s="4" t="n">
        <v>70</v>
      </c>
      <c r="J6" s="4">
        <f>IF(H6="","",H6*I6/100)</f>
        <v/>
      </c>
      <c r="K6" s="4" t="n"/>
    </row>
    <row r="7">
      <c r="A7" t="n">
        <v>3</v>
      </c>
      <c r="B7" t="inlineStr">
        <is>
          <t>Luca Verdi</t>
        </is>
      </c>
      <c r="C7" t="inlineStr">
        <is>
          <t>Verdi Spa</t>
        </is>
      </c>
      <c r="D7" t="inlineStr">
        <is>
          <t>luca.verdi@verdispa.com</t>
        </is>
      </c>
      <c r="E7" t="inlineStr">
        <is>
          <t>+39 348 1112233</t>
        </is>
      </c>
      <c r="F7" t="inlineStr">
        <is>
          <t>Sito web</t>
        </is>
      </c>
      <c r="G7" t="inlineStr">
        <is>
          <t>Primo contatto</t>
        </is>
      </c>
      <c r="H7" t="n">
        <v>3500</v>
      </c>
      <c r="I7" t="n">
        <v>30</v>
      </c>
      <c r="J7">
        <f>IF(H7="","",H7*I7/100)</f>
        <v/>
      </c>
    </row>
    <row r="8">
      <c r="A8" s="4" t="n">
        <v>4</v>
      </c>
      <c r="B8" s="4" t="inlineStr">
        <is>
          <t>Sara Neri</t>
        </is>
      </c>
      <c r="C8" s="4" t="inlineStr">
        <is>
          <t>Neri SAS</t>
        </is>
      </c>
      <c r="D8" s="4" t="inlineStr">
        <is>
          <t>s.neri@nerisas.it</t>
        </is>
      </c>
      <c r="E8" s="4" t="inlineStr">
        <is>
          <t>+39 335 5556677</t>
        </is>
      </c>
      <c r="F8" s="4" t="inlineStr">
        <is>
          <t>Fiera</t>
        </is>
      </c>
      <c r="G8" s="4" t="inlineStr">
        <is>
          <t>Negoziazione</t>
        </is>
      </c>
      <c r="H8" s="4" t="n">
        <v>8000</v>
      </c>
      <c r="I8" s="4" t="n">
        <v>80</v>
      </c>
      <c r="J8" s="4">
        <f>IF(H8="","",H8*I8/100)</f>
        <v/>
      </c>
      <c r="K8" s="4" t="n"/>
    </row>
    <row r="9">
      <c r="A9" t="n">
        <v>5</v>
      </c>
      <c r="B9" t="inlineStr">
        <is>
          <t>Paolo Gialli</t>
        </is>
      </c>
      <c r="C9" t="inlineStr">
        <is>
          <t>Gialli SRL</t>
        </is>
      </c>
      <c r="D9" t="inlineStr">
        <is>
          <t>info@gialli.it</t>
        </is>
      </c>
      <c r="E9" t="inlineStr">
        <is>
          <t>+39 320 9988776</t>
        </is>
      </c>
      <c r="F9" t="inlineStr">
        <is>
          <t>Newsletter</t>
        </is>
      </c>
      <c r="G9" t="inlineStr">
        <is>
          <t>Vinto</t>
        </is>
      </c>
      <c r="H9" t="n">
        <v>6500</v>
      </c>
      <c r="I9" t="n">
        <v>100</v>
      </c>
      <c r="J9">
        <f>IF(H9="","",H9*I9/100)</f>
        <v/>
      </c>
    </row>
    <row r="10">
      <c r="A10" s="4" t="n">
        <v>6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>
        <f>IF(H10="","",H10*I10/100)</f>
        <v/>
      </c>
      <c r="K10" s="4" t="n"/>
    </row>
    <row r="11">
      <c r="A11" t="n">
        <v>7</v>
      </c>
      <c r="J11">
        <f>IF(H11="","",H11*I11/100)</f>
        <v/>
      </c>
    </row>
    <row r="12">
      <c r="A12" s="4" t="n">
        <v>8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>
        <f>IF(H12="","",H12*I12/100)</f>
        <v/>
      </c>
      <c r="K12" s="4" t="n"/>
    </row>
    <row r="13">
      <c r="A13" t="n">
        <v>9</v>
      </c>
      <c r="J13">
        <f>IF(H13="","",H13*I13/100)</f>
        <v/>
      </c>
    </row>
    <row r="14">
      <c r="A14" s="4" t="n">
        <v>10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>
        <f>IF(H14="","",H14*I14/100)</f>
        <v/>
      </c>
      <c r="K14" s="4" t="n"/>
    </row>
    <row r="15">
      <c r="A15" t="n">
        <v>11</v>
      </c>
      <c r="J15">
        <f>IF(H15="","",H15*I15/100)</f>
        <v/>
      </c>
    </row>
    <row r="16">
      <c r="A16" s="4" t="n">
        <v>12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>
        <f>IF(H16="","",H16*I16/100)</f>
        <v/>
      </c>
      <c r="K16" s="4" t="n"/>
    </row>
    <row r="17">
      <c r="A17" t="n">
        <v>13</v>
      </c>
      <c r="J17">
        <f>IF(H17="","",H17*I17/100)</f>
        <v/>
      </c>
    </row>
    <row r="18">
      <c r="A18" s="4" t="n">
        <v>14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>
        <f>IF(H18="","",H18*I18/100)</f>
        <v/>
      </c>
      <c r="K18" s="4" t="n"/>
    </row>
    <row r="19">
      <c r="A19" t="n">
        <v>15</v>
      </c>
      <c r="J19">
        <f>IF(H19="","",H19*I19/100)</f>
        <v/>
      </c>
    </row>
    <row r="20">
      <c r="A20" s="4" t="n">
        <v>16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>
        <f>IF(H20="","",H20*I20/100)</f>
        <v/>
      </c>
      <c r="K20" s="4" t="n"/>
    </row>
    <row r="21">
      <c r="A21" t="n">
        <v>17</v>
      </c>
      <c r="J21">
        <f>IF(H21="","",H21*I21/100)</f>
        <v/>
      </c>
    </row>
    <row r="22">
      <c r="A22" s="4" t="n">
        <v>18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>
        <f>IF(H22="","",H22*I22/100)</f>
        <v/>
      </c>
      <c r="K22" s="4" t="n"/>
    </row>
    <row r="23">
      <c r="A23" t="n">
        <v>19</v>
      </c>
      <c r="J23">
        <f>IF(H23="","",H23*I23/100)</f>
        <v/>
      </c>
    </row>
    <row r="24">
      <c r="A24" s="4" t="n">
        <v>20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>
        <f>IF(H24="","",H24*I24/100)</f>
        <v/>
      </c>
      <c r="K24" s="4" t="n"/>
    </row>
    <row r="25">
      <c r="A25" t="n">
        <v>21</v>
      </c>
      <c r="J25">
        <f>IF(H25="","",H25*I25/100)</f>
        <v/>
      </c>
    </row>
    <row r="26">
      <c r="A26" s="4" t="n">
        <v>22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>
        <f>IF(H26="","",H26*I26/100)</f>
        <v/>
      </c>
      <c r="K26" s="4" t="n"/>
    </row>
    <row r="27">
      <c r="A27" t="n">
        <v>23</v>
      </c>
      <c r="J27">
        <f>IF(H27="","",H27*I27/100)</f>
        <v/>
      </c>
    </row>
    <row r="28">
      <c r="A28" s="4" t="n">
        <v>24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>
        <f>IF(H28="","",H28*I28/100)</f>
        <v/>
      </c>
      <c r="K28" s="4" t="n"/>
    </row>
    <row r="29">
      <c r="A29" t="n">
        <v>25</v>
      </c>
      <c r="J29">
        <f>IF(H29="","",H29*I29/100)</f>
        <v/>
      </c>
    </row>
    <row r="30">
      <c r="A30" s="4" t="n">
        <v>26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>
        <f>IF(H30="","",H30*I30/100)</f>
        <v/>
      </c>
      <c r="K30" s="4" t="n"/>
    </row>
    <row r="31">
      <c r="A31" t="n">
        <v>27</v>
      </c>
      <c r="J31">
        <f>IF(H31="","",H31*I31/100)</f>
        <v/>
      </c>
    </row>
    <row r="32">
      <c r="A32" s="4" t="n">
        <v>28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>
        <f>IF(H32="","",H32*I32/100)</f>
        <v/>
      </c>
      <c r="K32" s="4" t="n"/>
    </row>
    <row r="33">
      <c r="A33" t="n">
        <v>29</v>
      </c>
      <c r="J33">
        <f>IF(H33="","",H33*I33/100)</f>
        <v/>
      </c>
    </row>
    <row r="34">
      <c r="A34" s="4" t="n">
        <v>30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>
        <f>IF(H34="","",H34*I34/100)</f>
        <v/>
      </c>
      <c r="K34" s="4" t="n"/>
    </row>
  </sheetData>
  <dataValidations count="1">
    <dataValidation sqref="G5 G6 G7 G8 G9 G10 G11 G12 G13 G14 G15 G16 G17 G18 G19 G20 G21 G22 G23 G24 G25 G26 G27 G28 G29 G30 G31 G32 G33 G34" showDropDown="0" showInputMessage="0" showErrorMessage="0" allowBlank="1" type="list">
      <formula1>"Primo contatto,Qualificato,Proposta inviata,Negoziazione,Vinto,Perso"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AI Osha — Pipeline</t>
        </is>
      </c>
    </row>
    <row r="2">
      <c r="A2" s="2" t="inlineStr">
        <is>
          <t>Forecast pesato per stadio. Si calcola dal foglio Lead &amp; Clienti.</t>
        </is>
      </c>
    </row>
    <row r="4">
      <c r="A4" s="3" t="inlineStr">
        <is>
          <t>Stadio</t>
        </is>
      </c>
      <c r="B4" s="3" t="inlineStr">
        <is>
          <t>Numero deal</t>
        </is>
      </c>
      <c r="C4" s="3" t="inlineStr">
        <is>
          <t>Valore totale (€)</t>
        </is>
      </c>
      <c r="D4" s="3" t="inlineStr">
        <is>
          <t>Valore pesato (€)</t>
        </is>
      </c>
    </row>
    <row r="5">
      <c r="A5" t="inlineStr">
        <is>
          <t>Primo contatto</t>
        </is>
      </c>
      <c r="B5">
        <f>COUNTIF('Lead &amp; Clienti'!$G$5:$G$34,A5)</f>
        <v/>
      </c>
      <c r="C5">
        <f>SUMIF('Lead &amp; Clienti'!$G$5:$G$34,A5,'Lead &amp; Clienti'!$H$5:$H$34)</f>
        <v/>
      </c>
      <c r="D5">
        <f>SUMIF('Lead &amp; Clienti'!$G$5:$G$34,A5,'Lead &amp; Clienti'!$J$5:$J$34)</f>
        <v/>
      </c>
    </row>
    <row r="6">
      <c r="A6" t="inlineStr">
        <is>
          <t>Qualificato</t>
        </is>
      </c>
      <c r="B6">
        <f>COUNTIF('Lead &amp; Clienti'!$G$5:$G$34,A6)</f>
        <v/>
      </c>
      <c r="C6">
        <f>SUMIF('Lead &amp; Clienti'!$G$5:$G$34,A6,'Lead &amp; Clienti'!$H$5:$H$34)</f>
        <v/>
      </c>
      <c r="D6">
        <f>SUMIF('Lead &amp; Clienti'!$G$5:$G$34,A6,'Lead &amp; Clienti'!$J$5:$J$34)</f>
        <v/>
      </c>
    </row>
    <row r="7">
      <c r="A7" t="inlineStr">
        <is>
          <t>Proposta inviata</t>
        </is>
      </c>
      <c r="B7">
        <f>COUNTIF('Lead &amp; Clienti'!$G$5:$G$34,A7)</f>
        <v/>
      </c>
      <c r="C7">
        <f>SUMIF('Lead &amp; Clienti'!$G$5:$G$34,A7,'Lead &amp; Clienti'!$H$5:$H$34)</f>
        <v/>
      </c>
      <c r="D7">
        <f>SUMIF('Lead &amp; Clienti'!$G$5:$G$34,A7,'Lead &amp; Clienti'!$J$5:$J$34)</f>
        <v/>
      </c>
    </row>
    <row r="8">
      <c r="A8" t="inlineStr">
        <is>
          <t>Negoziazione</t>
        </is>
      </c>
      <c r="B8">
        <f>COUNTIF('Lead &amp; Clienti'!$G$5:$G$34,A8)</f>
        <v/>
      </c>
      <c r="C8">
        <f>SUMIF('Lead &amp; Clienti'!$G$5:$G$34,A8,'Lead &amp; Clienti'!$H$5:$H$34)</f>
        <v/>
      </c>
      <c r="D8">
        <f>SUMIF('Lead &amp; Clienti'!$G$5:$G$34,A8,'Lead &amp; Clienti'!$J$5:$J$34)</f>
        <v/>
      </c>
    </row>
    <row r="9">
      <c r="A9" t="inlineStr">
        <is>
          <t>Vinto</t>
        </is>
      </c>
      <c r="B9">
        <f>COUNTIF('Lead &amp; Clienti'!$G$5:$G$34,A9)</f>
        <v/>
      </c>
      <c r="C9">
        <f>SUMIF('Lead &amp; Clienti'!$G$5:$G$34,A9,'Lead &amp; Clienti'!$H$5:$H$34)</f>
        <v/>
      </c>
      <c r="D9">
        <f>SUMIF('Lead &amp; Clienti'!$G$5:$G$34,A9,'Lead &amp; Clienti'!$J$5:$J$34)</f>
        <v/>
      </c>
    </row>
    <row r="10">
      <c r="A10" t="inlineStr">
        <is>
          <t>Perso</t>
        </is>
      </c>
      <c r="B10">
        <f>COUNTIF('Lead &amp; Clienti'!$G$5:$G$34,A10)</f>
        <v/>
      </c>
      <c r="C10">
        <f>SUMIF('Lead &amp; Clienti'!$G$5:$G$34,A10,'Lead &amp; Clienti'!$H$5:$H$34)</f>
        <v/>
      </c>
      <c r="D10">
        <f>SUMIF('Lead &amp; Clienti'!$G$5:$G$34,A10,'Lead &amp; Clienti'!$J$5:$J$34)</f>
        <v/>
      </c>
    </row>
    <row r="11">
      <c r="A11" s="5" t="inlineStr">
        <is>
          <t>TOTALE</t>
        </is>
      </c>
      <c r="B11" s="5">
        <f>SUM(B5:B10)</f>
        <v/>
      </c>
      <c r="C11" s="5">
        <f>SUM(C5:C10)</f>
        <v/>
      </c>
      <c r="D11" s="5">
        <f>SUM(D5:D10)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2026-06-01T22:18:48Z</dcterms:created>
  <dcterms:modified xmlns:dcterms="http://purl.org/dc/terms/" xmlns:xsi="http://www.w3.org/2001/XMLSchema-instance" xsi:type="dcterms:W3CDTF">2026-06-01T22:18:48Z</dcterms:modified>
</cp:coreProperties>
</file>