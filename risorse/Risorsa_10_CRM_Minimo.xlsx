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 &amp; Clienti" sheetId="1" state="visible" r:id="rId1"/>
    <sheet xmlns:r="http://schemas.openxmlformats.org/officeDocument/2006/relationships" name="Pipelin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;[Red]-€ #,##0;-"/>
    <numFmt numFmtId="165" formatCode="0&quot;%&quot;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00838F"/>
      <sz val="11"/>
    </font>
    <font>
      <name val="Calibri"/>
      <b val="1"/>
      <color rgb="00FFFFFF"/>
      <sz val="11"/>
    </font>
    <font>
      <name val="Calibri"/>
      <sz val="10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00BCD4"/>
      </patternFill>
    </fill>
    <fill>
      <patternFill patternType="solid">
        <fgColor rgb="000A1F2E"/>
      </patternFill>
    </fill>
    <fill>
      <patternFill patternType="solid">
        <fgColor rgb="0000838F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4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BBD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6" customWidth="1" min="4" max="4"/>
    <col width="18" customWidth="1" min="5" max="5"/>
    <col width="14" customWidth="1" min="6" max="6"/>
    <col width="18" customWidth="1" min="7" max="7"/>
    <col width="16" customWidth="1" min="8" max="8"/>
    <col width="14" customWidth="1" min="9" max="9"/>
    <col width="18" customWidth="1" min="10" max="10"/>
    <col width="24" customWidth="1" min="11" max="11"/>
  </cols>
  <sheetData>
    <row r="1" ht="28" customHeight="1">
      <c r="A1" s="1" t="inlineStr">
        <is>
          <t>AIOsha · Risorsa 10 — CRM Minimo</t>
        </is>
      </c>
    </row>
    <row r="2" ht="20" customHeight="1">
      <c r="A2" s="2" t="inlineStr">
        <is>
          <t>Sostituisce 6 fogli sparsi con un solo file</t>
        </is>
      </c>
    </row>
    <row r="4" ht="32" customHeight="1">
      <c r="A4" s="3" t="inlineStr">
        <is>
          <t>ID</t>
        </is>
      </c>
      <c r="B4" s="3" t="inlineStr">
        <is>
          <t>Nome contatto</t>
        </is>
      </c>
      <c r="C4" s="3" t="inlineStr">
        <is>
          <t>Azienda</t>
        </is>
      </c>
      <c r="D4" s="3" t="inlineStr">
        <is>
          <t>Email</t>
        </is>
      </c>
      <c r="E4" s="3" t="inlineStr">
        <is>
          <t>Telefono</t>
        </is>
      </c>
      <c r="F4" s="3" t="inlineStr">
        <is>
          <t>Fonte</t>
        </is>
      </c>
      <c r="G4" s="3" t="inlineStr">
        <is>
          <t>Stadio</t>
        </is>
      </c>
      <c r="H4" s="3" t="inlineStr">
        <is>
          <t>Valore stimato (€)</t>
        </is>
      </c>
      <c r="I4" s="3" t="inlineStr">
        <is>
          <t>Probabilità %</t>
        </is>
      </c>
      <c r="J4" s="3" t="inlineStr">
        <is>
          <t>Valore pesato (€)</t>
        </is>
      </c>
      <c r="K4" s="3" t="inlineStr">
        <is>
          <t>Prossima azione</t>
        </is>
      </c>
    </row>
    <row r="5">
      <c r="A5" s="4" t="n">
        <v>1</v>
      </c>
      <c r="B5" s="4" t="inlineStr">
        <is>
          <t>Mario Rossi</t>
        </is>
      </c>
      <c r="C5" s="4" t="inlineStr">
        <is>
          <t>Rossi SRL</t>
        </is>
      </c>
      <c r="D5" s="4" t="inlineStr">
        <is>
          <t>mario@rossi.it</t>
        </is>
      </c>
      <c r="E5" s="4" t="inlineStr">
        <is>
          <t>+39 333 1234567</t>
        </is>
      </c>
      <c r="F5" s="4" t="inlineStr">
        <is>
          <t>LinkedIn</t>
        </is>
      </c>
      <c r="G5" s="4" t="inlineStr">
        <is>
          <t>Qualificato</t>
        </is>
      </c>
      <c r="H5" s="5" t="n">
        <v>5000</v>
      </c>
      <c r="I5" s="6" t="n">
        <v>60</v>
      </c>
      <c r="J5" s="5">
        <f>H5*I5/100</f>
        <v/>
      </c>
      <c r="K5" s="4" t="inlineStr">
        <is>
          <t>Da definire</t>
        </is>
      </c>
    </row>
    <row r="6">
      <c r="A6" s="4" t="n">
        <v>2</v>
      </c>
      <c r="B6" s="4" t="inlineStr">
        <is>
          <t>Anna Bianchi</t>
        </is>
      </c>
      <c r="C6" s="4" t="inlineStr">
        <is>
          <t>Bianchi &amp; Co</t>
        </is>
      </c>
      <c r="D6" s="4" t="inlineStr">
        <is>
          <t>a.bianchi@bianchi.it</t>
        </is>
      </c>
      <c r="E6" s="4" t="inlineStr">
        <is>
          <t>+39 340 7654321</t>
        </is>
      </c>
      <c r="F6" s="4" t="inlineStr">
        <is>
          <t>Referral</t>
        </is>
      </c>
      <c r="G6" s="4" t="inlineStr">
        <is>
          <t>Proposta inviata</t>
        </is>
      </c>
      <c r="H6" s="5" t="n">
        <v>12000</v>
      </c>
      <c r="I6" s="6" t="n">
        <v>70</v>
      </c>
      <c r="J6" s="5">
        <f>H6*I6/100</f>
        <v/>
      </c>
      <c r="K6" s="4" t="inlineStr">
        <is>
          <t>Da definire</t>
        </is>
      </c>
    </row>
    <row r="7">
      <c r="A7" s="4" t="n">
        <v>3</v>
      </c>
      <c r="B7" s="4" t="inlineStr">
        <is>
          <t>Luca Verdi</t>
        </is>
      </c>
      <c r="C7" s="4" t="inlineStr">
        <is>
          <t>Verdi Spa</t>
        </is>
      </c>
      <c r="D7" s="4" t="inlineStr">
        <is>
          <t>luca.verdi@verdispa.com</t>
        </is>
      </c>
      <c r="E7" s="4" t="inlineStr">
        <is>
          <t>+39 348 1112233</t>
        </is>
      </c>
      <c r="F7" s="4" t="inlineStr">
        <is>
          <t>Sito web</t>
        </is>
      </c>
      <c r="G7" s="4" t="inlineStr">
        <is>
          <t>Primo contatto</t>
        </is>
      </c>
      <c r="H7" s="5" t="n">
        <v>3500</v>
      </c>
      <c r="I7" s="6" t="n">
        <v>30</v>
      </c>
      <c r="J7" s="5">
        <f>H7*I7/100</f>
        <v/>
      </c>
      <c r="K7" s="4" t="inlineStr">
        <is>
          <t>Da definire</t>
        </is>
      </c>
    </row>
    <row r="8">
      <c r="A8" s="4" t="n">
        <v>4</v>
      </c>
      <c r="B8" s="4" t="inlineStr">
        <is>
          <t>Sara Neri</t>
        </is>
      </c>
      <c r="C8" s="4" t="inlineStr">
        <is>
          <t>Neri SAS</t>
        </is>
      </c>
      <c r="D8" s="4" t="inlineStr">
        <is>
          <t>s.neri@nerisas.it</t>
        </is>
      </c>
      <c r="E8" s="4" t="inlineStr">
        <is>
          <t>+39 335 5556677</t>
        </is>
      </c>
      <c r="F8" s="4" t="inlineStr">
        <is>
          <t>Fiera</t>
        </is>
      </c>
      <c r="G8" s="4" t="inlineStr">
        <is>
          <t>Negoziazione</t>
        </is>
      </c>
      <c r="H8" s="5" t="n">
        <v>8000</v>
      </c>
      <c r="I8" s="6" t="n">
        <v>80</v>
      </c>
      <c r="J8" s="5">
        <f>H8*I8/100</f>
        <v/>
      </c>
      <c r="K8" s="4" t="inlineStr">
        <is>
          <t>Da definire</t>
        </is>
      </c>
    </row>
    <row r="9">
      <c r="A9" s="4" t="n">
        <v>5</v>
      </c>
      <c r="B9" s="4" t="inlineStr">
        <is>
          <t>Paolo Gialli</t>
        </is>
      </c>
      <c r="C9" s="4" t="inlineStr">
        <is>
          <t>Gialli SRL</t>
        </is>
      </c>
      <c r="D9" s="4" t="inlineStr">
        <is>
          <t>info@gialli.it</t>
        </is>
      </c>
      <c r="E9" s="4" t="inlineStr">
        <is>
          <t>+39 320 9988776</t>
        </is>
      </c>
      <c r="F9" s="4" t="inlineStr">
        <is>
          <t>Newsletter</t>
        </is>
      </c>
      <c r="G9" s="4" t="inlineStr">
        <is>
          <t>Vinto</t>
        </is>
      </c>
      <c r="H9" s="5" t="n">
        <v>6500</v>
      </c>
      <c r="I9" s="6" t="n">
        <v>100</v>
      </c>
      <c r="J9" s="5">
        <f>H9*I9/100</f>
        <v/>
      </c>
      <c r="K9" s="4" t="inlineStr">
        <is>
          <t>Da definire</t>
        </is>
      </c>
    </row>
    <row r="10">
      <c r="A10" s="4" t="n">
        <v>6</v>
      </c>
      <c r="B10" s="4" t="n"/>
      <c r="C10" s="4" t="n"/>
      <c r="D10" s="4" t="n"/>
      <c r="E10" s="4" t="n"/>
      <c r="F10" s="4" t="n"/>
      <c r="G10" s="4" t="n"/>
      <c r="H10" s="5" t="n"/>
      <c r="I10" s="6" t="n"/>
      <c r="J10" s="5">
        <f>IF(AND(ISNUMBER(H10),ISNUMBER(I10)),H10*I10/100,"")</f>
        <v/>
      </c>
      <c r="K10" s="4" t="n"/>
    </row>
    <row r="11">
      <c r="A11" s="4" t="n">
        <v>7</v>
      </c>
      <c r="B11" s="4" t="n"/>
      <c r="C11" s="4" t="n"/>
      <c r="D11" s="4" t="n"/>
      <c r="E11" s="4" t="n"/>
      <c r="F11" s="4" t="n"/>
      <c r="G11" s="4" t="n"/>
      <c r="H11" s="5" t="n"/>
      <c r="I11" s="6" t="n"/>
      <c r="J11" s="5">
        <f>IF(AND(ISNUMBER(H11),ISNUMBER(I11)),H11*I11/100,"")</f>
        <v/>
      </c>
      <c r="K11" s="4" t="n"/>
    </row>
    <row r="12">
      <c r="A12" s="4" t="n">
        <v>8</v>
      </c>
      <c r="B12" s="4" t="n"/>
      <c r="C12" s="4" t="n"/>
      <c r="D12" s="4" t="n"/>
      <c r="E12" s="4" t="n"/>
      <c r="F12" s="4" t="n"/>
      <c r="G12" s="4" t="n"/>
      <c r="H12" s="5" t="n"/>
      <c r="I12" s="6" t="n"/>
      <c r="J12" s="5">
        <f>IF(AND(ISNUMBER(H12),ISNUMBER(I12)),H12*I12/100,"")</f>
        <v/>
      </c>
      <c r="K12" s="4" t="n"/>
    </row>
    <row r="13">
      <c r="A13" s="4" t="n">
        <v>9</v>
      </c>
      <c r="B13" s="4" t="n"/>
      <c r="C13" s="4" t="n"/>
      <c r="D13" s="4" t="n"/>
      <c r="E13" s="4" t="n"/>
      <c r="F13" s="4" t="n"/>
      <c r="G13" s="4" t="n"/>
      <c r="H13" s="5" t="n"/>
      <c r="I13" s="6" t="n"/>
      <c r="J13" s="5">
        <f>IF(AND(ISNUMBER(H13),ISNUMBER(I13)),H13*I13/100,"")</f>
        <v/>
      </c>
      <c r="K13" s="4" t="n"/>
    </row>
    <row r="14">
      <c r="A14" s="4" t="n">
        <v>10</v>
      </c>
      <c r="B14" s="4" t="n"/>
      <c r="C14" s="4" t="n"/>
      <c r="D14" s="4" t="n"/>
      <c r="E14" s="4" t="n"/>
      <c r="F14" s="4" t="n"/>
      <c r="G14" s="4" t="n"/>
      <c r="H14" s="5" t="n"/>
      <c r="I14" s="6" t="n"/>
      <c r="J14" s="5">
        <f>IF(AND(ISNUMBER(H14),ISNUMBER(I14)),H14*I14/100,"")</f>
        <v/>
      </c>
      <c r="K14" s="4" t="n"/>
    </row>
    <row r="15">
      <c r="A15" s="4" t="n">
        <v>11</v>
      </c>
      <c r="B15" s="4" t="n"/>
      <c r="C15" s="4" t="n"/>
      <c r="D15" s="4" t="n"/>
      <c r="E15" s="4" t="n"/>
      <c r="F15" s="4" t="n"/>
      <c r="G15" s="4" t="n"/>
      <c r="H15" s="5" t="n"/>
      <c r="I15" s="6" t="n"/>
      <c r="J15" s="5">
        <f>IF(AND(ISNUMBER(H15),ISNUMBER(I15)),H15*I15/100,"")</f>
        <v/>
      </c>
      <c r="K15" s="4" t="n"/>
    </row>
    <row r="16">
      <c r="A16" s="4" t="n">
        <v>12</v>
      </c>
      <c r="B16" s="4" t="n"/>
      <c r="C16" s="4" t="n"/>
      <c r="D16" s="4" t="n"/>
      <c r="E16" s="4" t="n"/>
      <c r="F16" s="4" t="n"/>
      <c r="G16" s="4" t="n"/>
      <c r="H16" s="5" t="n"/>
      <c r="I16" s="6" t="n"/>
      <c r="J16" s="5">
        <f>IF(AND(ISNUMBER(H16),ISNUMBER(I16)),H16*I16/100,"")</f>
        <v/>
      </c>
      <c r="K16" s="4" t="n"/>
    </row>
    <row r="17">
      <c r="A17" s="4" t="n">
        <v>13</v>
      </c>
      <c r="B17" s="4" t="n"/>
      <c r="C17" s="4" t="n"/>
      <c r="D17" s="4" t="n"/>
      <c r="E17" s="4" t="n"/>
      <c r="F17" s="4" t="n"/>
      <c r="G17" s="4" t="n"/>
      <c r="H17" s="5" t="n"/>
      <c r="I17" s="6" t="n"/>
      <c r="J17" s="5">
        <f>IF(AND(ISNUMBER(H17),ISNUMBER(I17)),H17*I17/100,"")</f>
        <v/>
      </c>
      <c r="K17" s="4" t="n"/>
    </row>
    <row r="18">
      <c r="A18" s="4" t="n">
        <v>14</v>
      </c>
      <c r="B18" s="4" t="n"/>
      <c r="C18" s="4" t="n"/>
      <c r="D18" s="4" t="n"/>
      <c r="E18" s="4" t="n"/>
      <c r="F18" s="4" t="n"/>
      <c r="G18" s="4" t="n"/>
      <c r="H18" s="5" t="n"/>
      <c r="I18" s="6" t="n"/>
      <c r="J18" s="5">
        <f>IF(AND(ISNUMBER(H18),ISNUMBER(I18)),H18*I18/100,"")</f>
        <v/>
      </c>
      <c r="K18" s="4" t="n"/>
    </row>
    <row r="19">
      <c r="A19" s="4" t="n">
        <v>15</v>
      </c>
      <c r="B19" s="4" t="n"/>
      <c r="C19" s="4" t="n"/>
      <c r="D19" s="4" t="n"/>
      <c r="E19" s="4" t="n"/>
      <c r="F19" s="4" t="n"/>
      <c r="G19" s="4" t="n"/>
      <c r="H19" s="5" t="n"/>
      <c r="I19" s="6" t="n"/>
      <c r="J19" s="5">
        <f>IF(AND(ISNUMBER(H19),ISNUMBER(I19)),H19*I19/100,"")</f>
        <v/>
      </c>
      <c r="K19" s="4" t="n"/>
    </row>
    <row r="20">
      <c r="A20" s="4" t="n">
        <v>16</v>
      </c>
      <c r="B20" s="4" t="n"/>
      <c r="C20" s="4" t="n"/>
      <c r="D20" s="4" t="n"/>
      <c r="E20" s="4" t="n"/>
      <c r="F20" s="4" t="n"/>
      <c r="G20" s="4" t="n"/>
      <c r="H20" s="5" t="n"/>
      <c r="I20" s="6" t="n"/>
      <c r="J20" s="5">
        <f>IF(AND(ISNUMBER(H20),ISNUMBER(I20)),H20*I20/100,"")</f>
        <v/>
      </c>
      <c r="K20" s="4" t="n"/>
    </row>
    <row r="21">
      <c r="A21" s="4" t="n">
        <v>17</v>
      </c>
      <c r="B21" s="4" t="n"/>
      <c r="C21" s="4" t="n"/>
      <c r="D21" s="4" t="n"/>
      <c r="E21" s="4" t="n"/>
      <c r="F21" s="4" t="n"/>
      <c r="G21" s="4" t="n"/>
      <c r="H21" s="5" t="n"/>
      <c r="I21" s="6" t="n"/>
      <c r="J21" s="5">
        <f>IF(AND(ISNUMBER(H21),ISNUMBER(I21)),H21*I21/100,"")</f>
        <v/>
      </c>
      <c r="K21" s="4" t="n"/>
    </row>
    <row r="22">
      <c r="A22" s="4" t="n">
        <v>18</v>
      </c>
      <c r="B22" s="4" t="n"/>
      <c r="C22" s="4" t="n"/>
      <c r="D22" s="4" t="n"/>
      <c r="E22" s="4" t="n"/>
      <c r="F22" s="4" t="n"/>
      <c r="G22" s="4" t="n"/>
      <c r="H22" s="5" t="n"/>
      <c r="I22" s="6" t="n"/>
      <c r="J22" s="5">
        <f>IF(AND(ISNUMBER(H22),ISNUMBER(I22)),H22*I22/100,"")</f>
        <v/>
      </c>
      <c r="K22" s="4" t="n"/>
    </row>
    <row r="23">
      <c r="A23" s="4" t="n">
        <v>19</v>
      </c>
      <c r="B23" s="4" t="n"/>
      <c r="C23" s="4" t="n"/>
      <c r="D23" s="4" t="n"/>
      <c r="E23" s="4" t="n"/>
      <c r="F23" s="4" t="n"/>
      <c r="G23" s="4" t="n"/>
      <c r="H23" s="5" t="n"/>
      <c r="I23" s="6" t="n"/>
      <c r="J23" s="5">
        <f>IF(AND(ISNUMBER(H23),ISNUMBER(I23)),H23*I23/100,"")</f>
        <v/>
      </c>
      <c r="K23" s="4" t="n"/>
    </row>
    <row r="24">
      <c r="A24" s="4" t="n">
        <v>20</v>
      </c>
      <c r="B24" s="4" t="n"/>
      <c r="C24" s="4" t="n"/>
      <c r="D24" s="4" t="n"/>
      <c r="E24" s="4" t="n"/>
      <c r="F24" s="4" t="n"/>
      <c r="G24" s="4" t="n"/>
      <c r="H24" s="5" t="n"/>
      <c r="I24" s="6" t="n"/>
      <c r="J24" s="5">
        <f>IF(AND(ISNUMBER(H24),ISNUMBER(I24)),H24*I24/100,"")</f>
        <v/>
      </c>
      <c r="K24" s="4" t="n"/>
    </row>
    <row r="25">
      <c r="A25" s="4" t="n">
        <v>21</v>
      </c>
      <c r="B25" s="4" t="n"/>
      <c r="C25" s="4" t="n"/>
      <c r="D25" s="4" t="n"/>
      <c r="E25" s="4" t="n"/>
      <c r="F25" s="4" t="n"/>
      <c r="G25" s="4" t="n"/>
      <c r="H25" s="5" t="n"/>
      <c r="I25" s="6" t="n"/>
      <c r="J25" s="5">
        <f>IF(AND(ISNUMBER(H25),ISNUMBER(I25)),H25*I25/100,"")</f>
        <v/>
      </c>
      <c r="K25" s="4" t="n"/>
    </row>
    <row r="26">
      <c r="A26" s="4" t="n">
        <v>22</v>
      </c>
      <c r="B26" s="4" t="n"/>
      <c r="C26" s="4" t="n"/>
      <c r="D26" s="4" t="n"/>
      <c r="E26" s="4" t="n"/>
      <c r="F26" s="4" t="n"/>
      <c r="G26" s="4" t="n"/>
      <c r="H26" s="5" t="n"/>
      <c r="I26" s="6" t="n"/>
      <c r="J26" s="5">
        <f>IF(AND(ISNUMBER(H26),ISNUMBER(I26)),H26*I26/100,"")</f>
        <v/>
      </c>
      <c r="K26" s="4" t="n"/>
    </row>
    <row r="27">
      <c r="A27" s="4" t="n">
        <v>23</v>
      </c>
      <c r="B27" s="4" t="n"/>
      <c r="C27" s="4" t="n"/>
      <c r="D27" s="4" t="n"/>
      <c r="E27" s="4" t="n"/>
      <c r="F27" s="4" t="n"/>
      <c r="G27" s="4" t="n"/>
      <c r="H27" s="5" t="n"/>
      <c r="I27" s="6" t="n"/>
      <c r="J27" s="5">
        <f>IF(AND(ISNUMBER(H27),ISNUMBER(I27)),H27*I27/100,"")</f>
        <v/>
      </c>
      <c r="K27" s="4" t="n"/>
    </row>
    <row r="28">
      <c r="A28" s="4" t="n">
        <v>24</v>
      </c>
      <c r="B28" s="4" t="n"/>
      <c r="C28" s="4" t="n"/>
      <c r="D28" s="4" t="n"/>
      <c r="E28" s="4" t="n"/>
      <c r="F28" s="4" t="n"/>
      <c r="G28" s="4" t="n"/>
      <c r="H28" s="5" t="n"/>
      <c r="I28" s="6" t="n"/>
      <c r="J28" s="5">
        <f>IF(AND(ISNUMBER(H28),ISNUMBER(I28)),H28*I28/100,"")</f>
        <v/>
      </c>
      <c r="K28" s="4" t="n"/>
    </row>
    <row r="29">
      <c r="A29" s="4" t="n">
        <v>25</v>
      </c>
      <c r="B29" s="4" t="n"/>
      <c r="C29" s="4" t="n"/>
      <c r="D29" s="4" t="n"/>
      <c r="E29" s="4" t="n"/>
      <c r="F29" s="4" t="n"/>
      <c r="G29" s="4" t="n"/>
      <c r="H29" s="5" t="n"/>
      <c r="I29" s="6" t="n"/>
      <c r="J29" s="5">
        <f>IF(AND(ISNUMBER(H29),ISNUMBER(I29)),H29*I29/100,"")</f>
        <v/>
      </c>
      <c r="K29" s="4" t="n"/>
    </row>
    <row r="30">
      <c r="A30" s="4" t="n">
        <v>26</v>
      </c>
      <c r="B30" s="4" t="n"/>
      <c r="C30" s="4" t="n"/>
      <c r="D30" s="4" t="n"/>
      <c r="E30" s="4" t="n"/>
      <c r="F30" s="4" t="n"/>
      <c r="G30" s="4" t="n"/>
      <c r="H30" s="5" t="n"/>
      <c r="I30" s="6" t="n"/>
      <c r="J30" s="5">
        <f>IF(AND(ISNUMBER(H30),ISNUMBER(I30)),H30*I30/100,"")</f>
        <v/>
      </c>
      <c r="K30" s="4" t="n"/>
    </row>
    <row r="31">
      <c r="A31" s="4" t="n">
        <v>27</v>
      </c>
      <c r="B31" s="4" t="n"/>
      <c r="C31" s="4" t="n"/>
      <c r="D31" s="4" t="n"/>
      <c r="E31" s="4" t="n"/>
      <c r="F31" s="4" t="n"/>
      <c r="G31" s="4" t="n"/>
      <c r="H31" s="5" t="n"/>
      <c r="I31" s="6" t="n"/>
      <c r="J31" s="5">
        <f>IF(AND(ISNUMBER(H31),ISNUMBER(I31)),H31*I31/100,"")</f>
        <v/>
      </c>
      <c r="K31" s="4" t="n"/>
    </row>
    <row r="32">
      <c r="A32" s="4" t="n">
        <v>28</v>
      </c>
      <c r="B32" s="4" t="n"/>
      <c r="C32" s="4" t="n"/>
      <c r="D32" s="4" t="n"/>
      <c r="E32" s="4" t="n"/>
      <c r="F32" s="4" t="n"/>
      <c r="G32" s="4" t="n"/>
      <c r="H32" s="5" t="n"/>
      <c r="I32" s="6" t="n"/>
      <c r="J32" s="5">
        <f>IF(AND(ISNUMBER(H32),ISNUMBER(I32)),H32*I32/100,"")</f>
        <v/>
      </c>
      <c r="K32" s="4" t="n"/>
    </row>
    <row r="33">
      <c r="A33" s="4" t="n">
        <v>29</v>
      </c>
      <c r="B33" s="4" t="n"/>
      <c r="C33" s="4" t="n"/>
      <c r="D33" s="4" t="n"/>
      <c r="E33" s="4" t="n"/>
      <c r="F33" s="4" t="n"/>
      <c r="G33" s="4" t="n"/>
      <c r="H33" s="5" t="n"/>
      <c r="I33" s="6" t="n"/>
      <c r="J33" s="5">
        <f>IF(AND(ISNUMBER(H33),ISNUMBER(I33)),H33*I33/100,"")</f>
        <v/>
      </c>
      <c r="K33" s="4" t="n"/>
    </row>
    <row r="34">
      <c r="A34" s="4" t="n">
        <v>30</v>
      </c>
      <c r="B34" s="4" t="n"/>
      <c r="C34" s="4" t="n"/>
      <c r="D34" s="4" t="n"/>
      <c r="E34" s="4" t="n"/>
      <c r="F34" s="4" t="n"/>
      <c r="G34" s="4" t="n"/>
      <c r="H34" s="5" t="n"/>
      <c r="I34" s="6" t="n"/>
      <c r="J34" s="5">
        <f>IF(AND(ISNUMBER(H34),ISNUMBER(I34)),H34*I34/100,"")</f>
        <v/>
      </c>
      <c r="K34" s="4" t="n"/>
    </row>
  </sheetData>
  <mergeCells count="2">
    <mergeCell ref="A2:K2"/>
    <mergeCell ref="A1:K1"/>
  </mergeCells>
  <conditionalFormatting sqref="G5:G34">
    <cfRule type="cellIs" priority="1" operator="equal" dxfId="0">
      <formula>"Vinto"</formula>
    </cfRule>
    <cfRule type="cellIs" priority="2" operator="equal" dxfId="1">
      <formula>"Perso"</formula>
    </cfRule>
    <cfRule type="cellIs" priority="3" operator="equal" dxfId="2">
      <formula>"Negoziazione"</formula>
    </cfRule>
    <cfRule type="cellIs" priority="4" operator="equal" dxfId="3">
      <formula>"Proposta inviata"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2" customWidth="1" min="4" max="4"/>
  </cols>
  <sheetData>
    <row r="1" ht="28" customHeight="1">
      <c r="A1" s="1" t="inlineStr">
        <is>
          <t>AIOsha · Pipeline</t>
        </is>
      </c>
    </row>
    <row r="2" ht="20" customHeight="1">
      <c r="A2" s="2" t="inlineStr">
        <is>
          <t>Stato pipeline e forecast pesato</t>
        </is>
      </c>
    </row>
    <row r="4">
      <c r="A4" s="3" t="inlineStr">
        <is>
          <t>Stadio</t>
        </is>
      </c>
      <c r="B4" s="3" t="inlineStr">
        <is>
          <t>Numero deal</t>
        </is>
      </c>
      <c r="C4" s="3" t="inlineStr">
        <is>
          <t>Valore totale (€)</t>
        </is>
      </c>
      <c r="D4" s="3" t="inlineStr">
        <is>
          <t>Valore pesato (€)</t>
        </is>
      </c>
    </row>
    <row r="5">
      <c r="A5" s="4" t="inlineStr">
        <is>
          <t>Primo contatto</t>
        </is>
      </c>
      <c r="B5" s="4">
        <f>COUNTIF('Lead &amp; Clienti'!G5:G34,A5)</f>
        <v/>
      </c>
      <c r="C5" s="5">
        <f>SUMIF('Lead &amp; Clienti'!G5:G34,A5,'Lead &amp; Clienti'!H5:H34)</f>
        <v/>
      </c>
      <c r="D5" s="5">
        <f>SUMIF('Lead &amp; Clienti'!G5:G34,A5,'Lead &amp; Clienti'!J5:J34)</f>
        <v/>
      </c>
    </row>
    <row r="6">
      <c r="A6" s="4" t="inlineStr">
        <is>
          <t>Qualificato</t>
        </is>
      </c>
      <c r="B6" s="4">
        <f>COUNTIF('Lead &amp; Clienti'!G5:G34,A6)</f>
        <v/>
      </c>
      <c r="C6" s="5">
        <f>SUMIF('Lead &amp; Clienti'!G5:G34,A6,'Lead &amp; Clienti'!H5:H34)</f>
        <v/>
      </c>
      <c r="D6" s="5">
        <f>SUMIF('Lead &amp; Clienti'!G5:G34,A6,'Lead &amp; Clienti'!J5:J34)</f>
        <v/>
      </c>
    </row>
    <row r="7">
      <c r="A7" s="4" t="inlineStr">
        <is>
          <t>Proposta inviata</t>
        </is>
      </c>
      <c r="B7" s="4">
        <f>COUNTIF('Lead &amp; Clienti'!G5:G34,A7)</f>
        <v/>
      </c>
      <c r="C7" s="5">
        <f>SUMIF('Lead &amp; Clienti'!G5:G34,A7,'Lead &amp; Clienti'!H5:H34)</f>
        <v/>
      </c>
      <c r="D7" s="5">
        <f>SUMIF('Lead &amp; Clienti'!G5:G34,A7,'Lead &amp; Clienti'!J5:J34)</f>
        <v/>
      </c>
    </row>
    <row r="8">
      <c r="A8" s="4" t="inlineStr">
        <is>
          <t>Negoziazione</t>
        </is>
      </c>
      <c r="B8" s="4">
        <f>COUNTIF('Lead &amp; Clienti'!G5:G34,A8)</f>
        <v/>
      </c>
      <c r="C8" s="5">
        <f>SUMIF('Lead &amp; Clienti'!G5:G34,A8,'Lead &amp; Clienti'!H5:H34)</f>
        <v/>
      </c>
      <c r="D8" s="5">
        <f>SUMIF('Lead &amp; Clienti'!G5:G34,A8,'Lead &amp; Clienti'!J5:J34)</f>
        <v/>
      </c>
    </row>
    <row r="9">
      <c r="A9" s="4" t="inlineStr">
        <is>
          <t>Vinto</t>
        </is>
      </c>
      <c r="B9" s="4">
        <f>COUNTIF('Lead &amp; Clienti'!G5:G34,A9)</f>
        <v/>
      </c>
      <c r="C9" s="5">
        <f>SUMIF('Lead &amp; Clienti'!G5:G34,A9,'Lead &amp; Clienti'!H5:H34)</f>
        <v/>
      </c>
      <c r="D9" s="5">
        <f>SUMIF('Lead &amp; Clienti'!G5:G34,A9,'Lead &amp; Clienti'!J5:J34)</f>
        <v/>
      </c>
    </row>
    <row r="10">
      <c r="A10" s="4" t="inlineStr">
        <is>
          <t>Perso</t>
        </is>
      </c>
      <c r="B10" s="4">
        <f>COUNTIF('Lead &amp; Clienti'!G5:G34,A10)</f>
        <v/>
      </c>
      <c r="C10" s="5">
        <f>SUMIF('Lead &amp; Clienti'!G5:G34,A10,'Lead &amp; Clienti'!H5:H34)</f>
        <v/>
      </c>
      <c r="D10" s="5">
        <f>SUMIF('Lead &amp; Clienti'!G5:G34,A10,'Lead &amp; Clienti'!J5:J34)</f>
        <v/>
      </c>
    </row>
    <row r="11">
      <c r="A11" s="7" t="inlineStr">
        <is>
          <t>TOTALE</t>
        </is>
      </c>
      <c r="B11" s="8">
        <f>SUM(B5:B10)</f>
        <v/>
      </c>
      <c r="C11" s="9">
        <f>SUM(C5:C10)</f>
        <v/>
      </c>
      <c r="D11" s="9">
        <f>SUM(D5:D10)</f>
        <v/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2026-04-14T22:07:36Z</dcterms:created>
  <dcterms:modified xmlns:dcterms="http://purl.org/dc/terms/" xmlns:xsi="http://www.w3.org/2001/XMLSchema-instance" xsi:type="dcterms:W3CDTF">2026-04-14T22:07:36Z</dcterms:modified>
</cp:coreProperties>
</file>